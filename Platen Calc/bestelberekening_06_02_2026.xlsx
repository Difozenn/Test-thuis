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elberekening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<sst xmlns="http://schemas.openxmlformats.org/spreadsheetml/2006/main" count="22" uniqueCount="22">
  <si>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Materiaal</t>
  </si>
  <si>
    <t>Artikel Nummer</t>
  </si>
  <si>
    <t>Netto (m²)</t>
  </si>
  <si>
    <t>R%</t>
  </si>
  <si>
    <t>Bruto (m²)</t>
  </si>
  <si>
    <t>Veiligh. (m²)</t>
  </si>
  <si>
    <t>Stock (m²)</t>
  </si>
  <si>
    <t>In Bestelling (m²)</t>
  </si>
  <si>
    <t>Saldo (m²)</t>
  </si>
  <si>
    <t>MDF 19mm AFQMxB</t>
  </si>
  <si>
    <t>GP00031232</t>
  </si>
  <si>
    <t>MDF 31mm BxB</t>
  </si>
  <si>
    <t>HSP 19mm BxB</t>
  </si>
  <si>
    <t>MDF 5mm BxB</t>
  </si>
  <si>
    <t>HSP BxB 26mm</t>
  </si>
  <si>
    <t>MDF 13mm BxB</t>
  </si>
  <si>
    <t>MDF 31mm AFQMxAFQM</t>
  </si>
  <si>
    <t>HSP 23mm BxB</t>
  </si>
  <si>
    <t>MDF 31mm AFQMxB</t>
  </si>
  <si>
    <t>BRUT MDF 30MM</t>
  </si>
  <si>
    <t>MULTI POP 15mm</t>
  </si>
  <si>
    <t>Let op: Wijzig de 'In Bestelling (m²)' kolom om de Saldo automatisch te herberekenen.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</si>
</sst>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F636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0F8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3" borderId="1" xfId="0" applyNumberFormat="1" applyFill="1" applyBorder="1" applyProtection="1">
      <protection locked="0"/>
    </xf>
    <xf numFmtId="0" fontId="2" fillId="0" borderId="0" xfId="0" applyFont="1"/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0.00"/>
      <fill>
        <patternFill>
          <bgColor rgb="FFF0F8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62828"/>
      </font>
      <numFmt numFmtId="164" formatCode="0.00"/>
      <fill>
        <patternFill>
          <bgColor rgb="FFFFEBE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E7D32"/>
      </font>
      <numFmt numFmtId="164" formatCode="0.00"/>
      <fill>
        <patternFill>
          <bgColor rgb="FFE8F5E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Bestelberekening" displayName="Bestelberekening" ref="A1:I12" totalsRowShown="0">
  <autoFilter ref="A1:I12"/>
  <tableColumns count="9">
    <tableColumn id="1" name="Materiaal" dataDxfId="0"/>
    <tableColumn id="2" name="Artikel Nummer" dataDxfId="0"/>
    <tableColumn id="3" name="Netto (m²)" dataDxfId="1"/>
    <tableColumn id="4" name="R%" dataDxfId="2"/>
    <tableColumn id="5" name="Bruto (m²)" dataDxfId="1"/>
    <tableColumn id="6" name="Veiligh. (m²)" dataDxfId="1"/>
    <tableColumn id="7" name="Stock (m²)" dataDxfId="1"/>
    <tableColumn id="8" name="In Bestelling (m²)" dataDxfId="3"/>
    <tableColumn id="9" name="Saldo (m²)" dataDxfId="1">
      <calculatedColumnFormula>[[#This Row],[Stock (m²)]]+[[#This Row],[In Bestelling (m²)]]-([[#This Row],[Bruto (m²)]]+[[#This Row],[Veiligh. (m²)]])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30.7109375" customWidth="1"/>
    <col min="2" max="2" width="18.7109375" customWidth="1"/>
    <col min="3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55.155953208222</v>
      </c>
      <c r="D2" s="4">
        <v>0.75</v>
      </c>
      <c r="E2" s="3">
        <v>73.541270944296</v>
      </c>
      <c r="F2" s="3">
        <v>0</v>
      </c>
      <c r="G2" s="3">
        <v>92.736</v>
      </c>
      <c r="H2" s="5">
        <v>0</v>
      </c>
      <c r="I2" s="3">
        <f>[[#This Row],[Stock (m²)]]+[[#This Row],[In Bestelling (m²)]]-([[#This Row],[Bruto (m²)]]+[[#This Row],[Veiligh. (m²)]])</f>
        <v>0</v>
      </c>
    </row>
    <row r="3" spans="1:9">
      <c r="A3" s="2" t="s">
        <v>11</v>
      </c>
      <c r="B3" s="2"/>
      <c r="C3" s="3">
        <v>32.371232488</v>
      </c>
      <c r="D3" s="4">
        <v>0.75</v>
      </c>
      <c r="E3" s="3">
        <v>43.16164331733334</v>
      </c>
      <c r="F3" s="3">
        <v>0</v>
      </c>
      <c r="G3" s="3">
        <v>46.368</v>
      </c>
      <c r="H3" s="5">
        <v>0</v>
      </c>
      <c r="I3" s="3">
        <f>[[#This Row],[Stock (m²)]]+[[#This Row],[In Bestelling (m²)]]-([[#This Row],[Bruto (m²)]]+[[#This Row],[Veiligh. (m²)]])</f>
        <v>0</v>
      </c>
    </row>
    <row r="4" spans="1:9">
      <c r="A4" s="2" t="s">
        <v>12</v>
      </c>
      <c r="B4" s="2"/>
      <c r="C4" s="3">
        <v>27.850813883</v>
      </c>
      <c r="D4" s="4">
        <v>0.75</v>
      </c>
      <c r="E4" s="3">
        <v>37.13441851066667</v>
      </c>
      <c r="F4" s="3">
        <v>0</v>
      </c>
      <c r="G4" s="3">
        <v>0</v>
      </c>
      <c r="H4" s="5">
        <v>0</v>
      </c>
      <c r="I4" s="3">
        <f>[[#This Row],[Stock (m²)]]+[[#This Row],[In Bestelling (m²)]]-([[#This Row],[Bruto (m²)]]+[[#This Row],[Veiligh. (m²)]])</f>
        <v>0</v>
      </c>
    </row>
    <row r="5" spans="1:9">
      <c r="A5" s="2" t="s">
        <v>13</v>
      </c>
      <c r="B5" s="2"/>
      <c r="C5" s="3">
        <v>27.376606317</v>
      </c>
      <c r="D5" s="4">
        <v>0.75</v>
      </c>
      <c r="E5" s="3">
        <v>36.50214175600001</v>
      </c>
      <c r="F5" s="3">
        <v>0</v>
      </c>
      <c r="G5" s="3">
        <v>26.047</v>
      </c>
      <c r="H5" s="5">
        <v>0</v>
      </c>
      <c r="I5" s="3">
        <f>[[#This Row],[Stock (m²)]]+[[#This Row],[In Bestelling (m²)]]-([[#This Row],[Bruto (m²)]]+[[#This Row],[Veiligh. (m²)]])</f>
        <v>0</v>
      </c>
    </row>
    <row r="6" spans="1:9">
      <c r="A6" s="2" t="s">
        <v>14</v>
      </c>
      <c r="B6" s="2"/>
      <c r="C6" s="3">
        <v>16.302</v>
      </c>
      <c r="D6" s="4">
        <v>0.75</v>
      </c>
      <c r="E6" s="3">
        <v>21.736</v>
      </c>
      <c r="F6" s="3">
        <v>0</v>
      </c>
      <c r="G6" s="3">
        <v>110.124</v>
      </c>
      <c r="H6" s="5">
        <v>0</v>
      </c>
      <c r="I6" s="3">
        <f>[[#This Row],[Stock (m²)]]+[[#This Row],[In Bestelling (m²)]]-([[#This Row],[Bruto (m²)]]+[[#This Row],[Veiligh. (m²)]])</f>
        <v>0</v>
      </c>
    </row>
    <row r="7" spans="1:9">
      <c r="A7" s="2" t="s">
        <v>15</v>
      </c>
      <c r="B7" s="2"/>
      <c r="C7" s="3">
        <v>9.482272399000001</v>
      </c>
      <c r="D7" s="4">
        <v>0.75</v>
      </c>
      <c r="E7" s="3">
        <v>12.64302986533333</v>
      </c>
      <c r="F7" s="3">
        <v>0</v>
      </c>
      <c r="G7" s="3">
        <v>70.699</v>
      </c>
      <c r="H7" s="5">
        <v>0</v>
      </c>
      <c r="I7" s="3">
        <f>[[#This Row],[Stock (m²)]]+[[#This Row],[In Bestelling (m²)]]-([[#This Row],[Bruto (m²)]]+[[#This Row],[Veiligh. (m²)]])</f>
        <v>0</v>
      </c>
    </row>
    <row r="8" spans="1:9">
      <c r="A8" s="2" t="s">
        <v>16</v>
      </c>
      <c r="B8" s="2"/>
      <c r="C8" s="3">
        <v>6.466803000000001</v>
      </c>
      <c r="D8" s="4">
        <v>0.75</v>
      </c>
      <c r="E8" s="3">
        <v>8.622404000000001</v>
      </c>
      <c r="F8" s="3">
        <v>0</v>
      </c>
      <c r="G8" s="3">
        <v>0</v>
      </c>
      <c r="H8" s="5">
        <v>0</v>
      </c>
      <c r="I8" s="3">
        <f>[[#This Row],[Stock (m²)]]+[[#This Row],[In Bestelling (m²)]]-([[#This Row],[Bruto (m²)]]+[[#This Row],[Veiligh. (m²)]])</f>
        <v>0</v>
      </c>
    </row>
    <row r="9" spans="1:9">
      <c r="A9" s="2" t="s">
        <v>17</v>
      </c>
      <c r="B9" s="2"/>
      <c r="C9" s="3">
        <v>4.422000000000001</v>
      </c>
      <c r="D9" s="4">
        <v>0.75</v>
      </c>
      <c r="E9" s="3">
        <v>5.896000000000001</v>
      </c>
      <c r="F9" s="3">
        <v>0</v>
      </c>
      <c r="G9" s="3">
        <v>69.55200000000001</v>
      </c>
      <c r="H9" s="5">
        <v>0</v>
      </c>
      <c r="I9" s="3">
        <f>[[#This Row],[Stock (m²)]]+[[#This Row],[In Bestelling (m²)]]-([[#This Row],[Bruto (m²)]]+[[#This Row],[Veiligh. (m²)]])</f>
        <v>0</v>
      </c>
    </row>
    <row r="10" spans="1:9">
      <c r="A10" s="2" t="s">
        <v>18</v>
      </c>
      <c r="B10" s="2"/>
      <c r="C10" s="3">
        <v>4.18696512</v>
      </c>
      <c r="D10" s="4">
        <v>0.75</v>
      </c>
      <c r="E10" s="3">
        <v>5.58262016</v>
      </c>
      <c r="F10" s="3">
        <v>0</v>
      </c>
      <c r="G10" s="3">
        <v>5.796</v>
      </c>
      <c r="H10" s="5">
        <v>0</v>
      </c>
      <c r="I10" s="3">
        <f>[[#This Row],[Stock (m²)]]+[[#This Row],[In Bestelling (m²)]]-([[#This Row],[Bruto (m²)]]+[[#This Row],[Veiligh. (m²)]])</f>
        <v>0</v>
      </c>
    </row>
    <row r="11" spans="1:9">
      <c r="A11" s="2" t="s">
        <v>19</v>
      </c>
      <c r="B11" s="2"/>
      <c r="C11" s="3">
        <v>0.3972</v>
      </c>
      <c r="D11" s="4">
        <v>0.75</v>
      </c>
      <c r="E11" s="3">
        <v>0.5296</v>
      </c>
      <c r="F11" s="3">
        <v>0</v>
      </c>
      <c r="G11" s="3">
        <v>0</v>
      </c>
      <c r="H11" s="5">
        <v>0</v>
      </c>
      <c r="I11" s="3">
        <f>[[#This Row],[Stock (m²)]]+[[#This Row],[In Bestelling (m²)]]-([[#This Row],[Bruto (m²)]]+[[#This Row],[Veiligh. (m²)]])</f>
        <v>0</v>
      </c>
    </row>
    <row r="12" spans="1:9">
      <c r="A12" s="2" t="s">
        <v>20</v>
      </c>
      <c r="B12" s="2"/>
      <c r="C12" s="3">
        <v>0.13874</v>
      </c>
      <c r="D12" s="4">
        <v>0.75</v>
      </c>
      <c r="E12" s="3">
        <v>0.1849866666666667</v>
      </c>
      <c r="F12" s="3">
        <v>0</v>
      </c>
      <c r="G12" s="3">
        <v>15.25</v>
      </c>
      <c r="H12" s="5">
        <v>0</v>
      </c>
      <c r="I12" s="3">
        <f>[[#This Row],[Stock (m²)]]+[[#This Row],[In Bestelling (m²)]]-([[#This Row],[Bruto (m²)]]+[[#This Row],[Veiligh. (m²)]])</f>
        <v>0</v>
      </c>
    </row>
    <row r="14" spans="1:9">
      <c r="A14" s="6" t="s">
        <v>21</v>
      </c>
    </row>
  </sheetData>
  <conditionalFormatting sqref="I2:I12">
    <cfRule type="cellIs" dxfId="4" priority="1" operator="lessThan">
      <formula>0</formula>
    </cfRule>
    <cfRule type="cellIs" dxfId="5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Bestelberekening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2026-02-06T19:44:53Z</dcterms:created>
  <dcterms:modified xsi:type="dcterms:W3CDTF">2026-02-06T19:44:53Z</dcterms:modified>
</cp:coreProperties>
</file>