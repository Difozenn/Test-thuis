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elberekening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<sst xmlns="http://schemas.openxmlformats.org/spreadsheetml/2006/main" count="57" uniqueCount="57">
  <si>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Materiaal</t>
  </si>
  <si>
    <t>Netto (m²)</t>
  </si>
  <si>
    <t>R%</t>
  </si>
  <si>
    <t>Bruto (m²)</t>
  </si>
  <si>
    <t>Veiligh. (m²)</t>
  </si>
  <si>
    <t>Stock (m²)</t>
  </si>
  <si>
    <t>In Bestelling (m²)</t>
  </si>
  <si>
    <t>Saldo (m²)</t>
  </si>
  <si>
    <t>MDF 19mm AFQMxB</t>
  </si>
  <si>
    <t>MDF 31mm BxB</t>
  </si>
  <si>
    <t>HSP 19mm BxB</t>
  </si>
  <si>
    <t>MDF 5mm BxB</t>
  </si>
  <si>
    <t>HSP 23mm BxB</t>
  </si>
  <si>
    <t>HSP 18mm Melamine Grijs grafiet</t>
  </si>
  <si>
    <t>MDF 13mm BxB</t>
  </si>
  <si>
    <t>BRUT MDF 18MM</t>
  </si>
  <si>
    <t>HSP 08mm Melamine Grijs grafiet</t>
  </si>
  <si>
    <t>MDF 31mm AFQMxAFQM</t>
  </si>
  <si>
    <t>MDF Zwart 19mm KrakAwxB</t>
  </si>
  <si>
    <t>MDF 31mm AFQMxB</t>
  </si>
  <si>
    <t>HSP 22mm Melamine Grijs grafiet</t>
  </si>
  <si>
    <t>BRUT MDF 12MM ZWART</t>
  </si>
  <si>
    <t>MDF 19mm EikAwerenxB</t>
  </si>
  <si>
    <t>BRUT MDF 30MM</t>
  </si>
  <si>
    <t>MDF 13mm AFQMxB</t>
  </si>
  <si>
    <t>MDF 23mm AFQMxB</t>
  </si>
  <si>
    <t>HSP BxB 26mm</t>
  </si>
  <si>
    <t>MDF 5mm BxB BREED</t>
  </si>
  <si>
    <t>BRUT MDF 25MM ZWART</t>
  </si>
  <si>
    <t>FineerPlaat AFQMxB 19mm Int bloom</t>
  </si>
  <si>
    <t>BRUT MDF 18MM GROEN</t>
  </si>
  <si>
    <t>HSP 18mm Melamine Antraciet Quartz</t>
  </si>
  <si>
    <t>MDF Zwart 13mm NOOTxNOOT</t>
  </si>
  <si>
    <t>MULTI 18mm Sokkel</t>
  </si>
  <si>
    <t>MDF Zwart 19mm BxB Japandi</t>
  </si>
  <si>
    <t>MDF Zwart 19mm NOOTxNOOT</t>
  </si>
  <si>
    <t>MULTI BERK 20mm</t>
  </si>
  <si>
    <t>BRUT MDF 12MM</t>
  </si>
  <si>
    <t>HSP 18mm AxA BULO</t>
  </si>
  <si>
    <t>FineerPlaat AFQMxB 23mm A Intense</t>
  </si>
  <si>
    <t>HSP 17mm BxB</t>
  </si>
  <si>
    <t>MULTI 15mm Sokkel</t>
  </si>
  <si>
    <t>MULTI BERK 15mm</t>
  </si>
  <si>
    <t>MDF 23mm BxB</t>
  </si>
  <si>
    <t>MDF Zwart 31mm KrakAwxB</t>
  </si>
  <si>
    <t>MDF 23mm AFQMxAFQM</t>
  </si>
  <si>
    <t>BRUT MDF 6MM</t>
  </si>
  <si>
    <t>BRUT MDF 22MM</t>
  </si>
  <si>
    <t>HSP 18mm Melamine Alu-Grijs</t>
  </si>
  <si>
    <t>MULTI BERK 24mm</t>
  </si>
  <si>
    <t>HSP 25mm MELxMEL wit</t>
  </si>
  <si>
    <t>MDF 17mm AFQMxAFQM</t>
  </si>
  <si>
    <t>HDF 3 ZwartxBrut</t>
  </si>
  <si>
    <t>HSP 39mm BxB</t>
  </si>
  <si>
    <t>MULTI POP 15mm</t>
  </si>
  <si>
    <t>MULTI POP 10mm</t>
  </si>
  <si>
    <t>Let op: Wijzig de 'In Bestelling (m²)' kolom om de Saldo automatisch te herberekenen.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</si>
</sst>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2E7D32"/>
      <name val="Calibri"/>
      <family val="2"/>
      <scheme val="minor"/>
    </font>
    <font>
      <i/>
      <sz val="11"/>
      <color rgb="FF5F636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3" borderId="1" xfId="0" applyNumberFormat="1" applyFill="1" applyBorder="1" applyProtection="1">
      <protection locked="0"/>
    </xf>
    <xf numFmtId="164" fontId="2" fillId="4" borderId="1" xfId="0" applyNumberFormat="1" applyFont="1" applyFill="1" applyBorder="1"/>
    <xf numFmtId="164" fontId="3" fillId="5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2">
    <dxf>
      <font>
        <color rgb="FFC62828"/>
      </font>
      <numFmt numFmtId="164" formatCode="0.00"/>
      <fill>
        <patternFill>
          <bgColor rgb="FFFFEB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2E7D32"/>
      </font>
      <numFmt numFmtId="164" formatCode="0.00"/>
      <fill>
        <patternFill>
          <bgColor rgb="FFE8F5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width="30.7109375" customWidth="1"/>
    <col min="2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1809.260559905809</v>
      </c>
      <c r="C2" s="3">
        <v>0.75</v>
      </c>
      <c r="D2" s="3">
        <v>2412.347413207746</v>
      </c>
      <c r="E2" s="3">
        <v>50</v>
      </c>
      <c r="F2" s="3">
        <v>92.736</v>
      </c>
      <c r="G2" s="4">
        <v>0</v>
      </c>
      <c r="H2" s="5">
        <f>F2+G2-(D2+E2)</f>
        <v>0</v>
      </c>
    </row>
    <row r="3" spans="1:8">
      <c r="A3" s="2" t="s">
        <v>9</v>
      </c>
      <c r="B3" s="3">
        <v>810.2083683524995</v>
      </c>
      <c r="C3" s="3">
        <v>0.75</v>
      </c>
      <c r="D3" s="3">
        <v>1080.277824469999</v>
      </c>
      <c r="E3" s="3">
        <v>50</v>
      </c>
      <c r="F3" s="3">
        <v>46.368</v>
      </c>
      <c r="G3" s="4">
        <v>0</v>
      </c>
      <c r="H3" s="5">
        <f>F3+G3-(D3+E3)</f>
        <v>0</v>
      </c>
    </row>
    <row r="4" spans="1:8">
      <c r="A4" s="2" t="s">
        <v>10</v>
      </c>
      <c r="B4" s="3">
        <v>755.5879212790003</v>
      </c>
      <c r="C4" s="3">
        <v>0.8</v>
      </c>
      <c r="D4" s="3">
        <v>944.4849015987503</v>
      </c>
      <c r="E4" s="3">
        <v>0</v>
      </c>
      <c r="F4" s="3">
        <v>0</v>
      </c>
      <c r="G4" s="4">
        <v>0</v>
      </c>
      <c r="H4" s="5">
        <f>F4+G4-(D4+E4)</f>
        <v>0</v>
      </c>
    </row>
    <row r="5" spans="1:8">
      <c r="A5" s="2" t="s">
        <v>11</v>
      </c>
      <c r="B5" s="3">
        <v>706.3704664945</v>
      </c>
      <c r="C5" s="3">
        <v>0.75</v>
      </c>
      <c r="D5" s="3">
        <v>941.8272886593332</v>
      </c>
      <c r="E5" s="3">
        <v>50</v>
      </c>
      <c r="F5" s="3">
        <v>26.047</v>
      </c>
      <c r="G5" s="4">
        <v>0</v>
      </c>
      <c r="H5" s="5">
        <f>F5+G5-(D5+E5)</f>
        <v>0</v>
      </c>
    </row>
    <row r="6" spans="1:8">
      <c r="A6" s="2" t="s">
        <v>12</v>
      </c>
      <c r="B6" s="3">
        <v>491.4776244729999</v>
      </c>
      <c r="C6" s="3">
        <v>0.8</v>
      </c>
      <c r="D6" s="3">
        <v>614.3470305912499</v>
      </c>
      <c r="E6" s="3">
        <v>0</v>
      </c>
      <c r="F6" s="3">
        <v>69.55200000000001</v>
      </c>
      <c r="G6" s="4">
        <v>0</v>
      </c>
      <c r="H6" s="5">
        <f>F6+G6-(D6+E6)</f>
        <v>0</v>
      </c>
    </row>
    <row r="7" spans="1:8">
      <c r="A7" s="2" t="s">
        <v>13</v>
      </c>
      <c r="B7" s="3">
        <v>214.85375376</v>
      </c>
      <c r="C7" s="3">
        <v>0.8</v>
      </c>
      <c r="D7" s="3">
        <v>268.5671922</v>
      </c>
      <c r="E7" s="3">
        <v>0</v>
      </c>
      <c r="F7" s="3">
        <v>0</v>
      </c>
      <c r="G7" s="4">
        <v>0</v>
      </c>
      <c r="H7" s="5">
        <f>F7+G7-(D7+E7)</f>
        <v>0</v>
      </c>
    </row>
    <row r="8" spans="1:8">
      <c r="A8" s="2" t="s">
        <v>14</v>
      </c>
      <c r="B8" s="3">
        <v>178.4546070577</v>
      </c>
      <c r="C8" s="3">
        <v>0.8</v>
      </c>
      <c r="D8" s="3">
        <v>223.068258822125</v>
      </c>
      <c r="E8" s="3">
        <v>10</v>
      </c>
      <c r="F8" s="3">
        <v>70.699</v>
      </c>
      <c r="G8" s="4">
        <v>0</v>
      </c>
      <c r="H8" s="5">
        <f>F8+G8-(D8+E8)</f>
        <v>0</v>
      </c>
    </row>
    <row r="9" spans="1:8">
      <c r="A9" s="2" t="s">
        <v>15</v>
      </c>
      <c r="B9" s="3">
        <v>141.360140514677</v>
      </c>
      <c r="C9" s="3">
        <v>0.8</v>
      </c>
      <c r="D9" s="3">
        <v>176.7001756433462</v>
      </c>
      <c r="E9" s="3">
        <v>0</v>
      </c>
      <c r="F9" s="3">
        <v>0</v>
      </c>
      <c r="G9" s="4">
        <v>0</v>
      </c>
      <c r="H9" s="5">
        <f>F9+G9-(D9+E9)</f>
        <v>0</v>
      </c>
    </row>
    <row r="10" spans="1:8">
      <c r="A10" s="2" t="s">
        <v>16</v>
      </c>
      <c r="B10" s="3">
        <v>132.818815209</v>
      </c>
      <c r="C10" s="3">
        <v>0.8</v>
      </c>
      <c r="D10" s="3">
        <v>166.02351901125</v>
      </c>
      <c r="E10" s="3">
        <v>0</v>
      </c>
      <c r="F10" s="3">
        <v>0</v>
      </c>
      <c r="G10" s="4">
        <v>0</v>
      </c>
      <c r="H10" s="5">
        <f>F10+G10-(D10+E10)</f>
        <v>0</v>
      </c>
    </row>
    <row r="11" spans="1:8">
      <c r="A11" s="2" t="s">
        <v>17</v>
      </c>
      <c r="B11" s="3">
        <v>132.221703846984</v>
      </c>
      <c r="C11" s="3">
        <v>0.8</v>
      </c>
      <c r="D11" s="3">
        <v>165.27712980873</v>
      </c>
      <c r="E11" s="3">
        <v>0</v>
      </c>
      <c r="F11" s="3">
        <v>0</v>
      </c>
      <c r="G11" s="4">
        <v>0</v>
      </c>
      <c r="H11" s="5">
        <f>F11+G11-(D11+E11)</f>
        <v>0</v>
      </c>
    </row>
    <row r="12" spans="1:8">
      <c r="A12" s="2" t="s">
        <v>18</v>
      </c>
      <c r="B12" s="3">
        <v>107.800302698</v>
      </c>
      <c r="C12" s="3">
        <v>0.8</v>
      </c>
      <c r="D12" s="3">
        <v>134.7503783725</v>
      </c>
      <c r="E12" s="3">
        <v>0</v>
      </c>
      <c r="F12" s="3">
        <v>52.848</v>
      </c>
      <c r="G12" s="4">
        <v>0</v>
      </c>
      <c r="H12" s="5">
        <f>F12+G12-(D12+E12)</f>
        <v>0</v>
      </c>
    </row>
    <row r="13" spans="1:8">
      <c r="A13" s="2" t="s">
        <v>19</v>
      </c>
      <c r="B13" s="3">
        <v>97.46762744</v>
      </c>
      <c r="C13" s="3">
        <v>0.8</v>
      </c>
      <c r="D13" s="3">
        <v>121.8345343</v>
      </c>
      <c r="E13" s="3">
        <v>0</v>
      </c>
      <c r="F13" s="3">
        <v>5.796</v>
      </c>
      <c r="G13" s="4">
        <v>0</v>
      </c>
      <c r="H13" s="5">
        <f>F13+G13-(D13+E13)</f>
        <v>0</v>
      </c>
    </row>
    <row r="14" spans="1:8">
      <c r="A14" s="2" t="s">
        <v>20</v>
      </c>
      <c r="B14" s="3">
        <v>86.09692483000001</v>
      </c>
      <c r="C14" s="3">
        <v>0.8</v>
      </c>
      <c r="D14" s="3">
        <v>107.6211560375</v>
      </c>
      <c r="E14" s="3">
        <v>0</v>
      </c>
      <c r="F14" s="3">
        <v>11.76</v>
      </c>
      <c r="G14" s="4">
        <v>0</v>
      </c>
      <c r="H14" s="5">
        <f>F14+G14-(D14+E14)</f>
        <v>0</v>
      </c>
    </row>
    <row r="15" spans="1:8">
      <c r="A15" s="2" t="s">
        <v>21</v>
      </c>
      <c r="B15" s="3">
        <v>75.63073079799999</v>
      </c>
      <c r="C15" s="3">
        <v>0.8</v>
      </c>
      <c r="D15" s="3">
        <v>94.53841349749997</v>
      </c>
      <c r="E15" s="3">
        <v>0</v>
      </c>
      <c r="F15" s="3">
        <v>48.373</v>
      </c>
      <c r="G15" s="4">
        <v>0</v>
      </c>
      <c r="H15" s="5">
        <f>F15+G15-(D15+E15)</f>
        <v>0</v>
      </c>
    </row>
    <row r="16" spans="1:8">
      <c r="A16" s="2" t="s">
        <v>22</v>
      </c>
      <c r="B16" s="3">
        <v>69.351998985398</v>
      </c>
      <c r="C16" s="3">
        <v>0.8</v>
      </c>
      <c r="D16" s="3">
        <v>86.68999873174749</v>
      </c>
      <c r="E16" s="3">
        <v>0</v>
      </c>
      <c r="F16" s="3">
        <v>69.55200000000001</v>
      </c>
      <c r="G16" s="4">
        <v>0</v>
      </c>
      <c r="H16" s="5">
        <f>F16+G16-(D16+E16)</f>
        <v>0</v>
      </c>
    </row>
    <row r="17" spans="1:8">
      <c r="A17" s="2" t="s">
        <v>23</v>
      </c>
      <c r="B17" s="3">
        <v>67.91202799999998</v>
      </c>
      <c r="C17" s="3">
        <v>0.8</v>
      </c>
      <c r="D17" s="3">
        <v>84.89003499999997</v>
      </c>
      <c r="E17" s="3">
        <v>0</v>
      </c>
      <c r="F17" s="3">
        <v>0</v>
      </c>
      <c r="G17" s="4">
        <v>0</v>
      </c>
      <c r="H17" s="5">
        <f>F17+G17-(D17+E17)</f>
        <v>0</v>
      </c>
    </row>
    <row r="18" spans="1:8">
      <c r="A18" s="2" t="s">
        <v>24</v>
      </c>
      <c r="B18" s="3">
        <v>65.96645789799999</v>
      </c>
      <c r="C18" s="3">
        <v>0.8</v>
      </c>
      <c r="D18" s="3">
        <v>82.45807237249998</v>
      </c>
      <c r="E18" s="3">
        <v>0</v>
      </c>
      <c r="F18" s="3">
        <v>40.572</v>
      </c>
      <c r="G18" s="4">
        <v>0</v>
      </c>
      <c r="H18" s="5">
        <f>F18+G18-(D18+E18)</f>
        <v>0</v>
      </c>
    </row>
    <row r="19" spans="1:8">
      <c r="A19" s="2" t="s">
        <v>25</v>
      </c>
      <c r="B19" s="3">
        <v>59.91430242800005</v>
      </c>
      <c r="C19" s="3">
        <v>0.8</v>
      </c>
      <c r="D19" s="3">
        <v>74.89287803500005</v>
      </c>
      <c r="E19" s="3">
        <v>0</v>
      </c>
      <c r="F19" s="3">
        <v>81.14400000000001</v>
      </c>
      <c r="G19" s="4">
        <v>0</v>
      </c>
      <c r="H19" s="6">
        <f>F19+G19-(D19+E19)</f>
        <v>0</v>
      </c>
    </row>
    <row r="20" spans="1:8">
      <c r="A20" s="2" t="s">
        <v>26</v>
      </c>
      <c r="B20" s="3">
        <v>57.07152000000001</v>
      </c>
      <c r="C20" s="3">
        <v>0.8</v>
      </c>
      <c r="D20" s="3">
        <v>71.3394</v>
      </c>
      <c r="E20" s="3">
        <v>0</v>
      </c>
      <c r="F20" s="3">
        <v>110.124</v>
      </c>
      <c r="G20" s="4">
        <v>0</v>
      </c>
      <c r="H20" s="6">
        <f>F20+G20-(D20+E20)</f>
        <v>0</v>
      </c>
    </row>
    <row r="21" spans="1:8">
      <c r="A21" s="2" t="s">
        <v>27</v>
      </c>
      <c r="B21" s="3">
        <v>56.02290780000001</v>
      </c>
      <c r="C21" s="3">
        <v>0.8</v>
      </c>
      <c r="D21" s="3">
        <v>70.02863475000001</v>
      </c>
      <c r="E21" s="3">
        <v>0</v>
      </c>
      <c r="F21" s="3">
        <v>0</v>
      </c>
      <c r="G21" s="4">
        <v>0</v>
      </c>
      <c r="H21" s="5">
        <f>F21+G21-(D21+E21)</f>
        <v>0</v>
      </c>
    </row>
    <row r="22" spans="1:8">
      <c r="A22" s="2" t="s">
        <v>28</v>
      </c>
      <c r="B22" s="3">
        <v>33.442712</v>
      </c>
      <c r="C22" s="3">
        <v>0.8</v>
      </c>
      <c r="D22" s="3">
        <v>41.80339</v>
      </c>
      <c r="E22" s="3">
        <v>0</v>
      </c>
      <c r="F22" s="3">
        <v>69.55200000000001</v>
      </c>
      <c r="G22" s="4">
        <v>0</v>
      </c>
      <c r="H22" s="6">
        <f>F22+G22-(D22+E22)</f>
        <v>0</v>
      </c>
    </row>
    <row r="23" spans="1:8">
      <c r="A23" s="2" t="s">
        <v>29</v>
      </c>
      <c r="B23" s="3">
        <v>32.770809</v>
      </c>
      <c r="C23" s="3">
        <v>0.8</v>
      </c>
      <c r="D23" s="3">
        <v>40.96351125</v>
      </c>
      <c r="E23" s="3">
        <v>0</v>
      </c>
      <c r="F23" s="3">
        <v>27.53968</v>
      </c>
      <c r="G23" s="4">
        <v>0</v>
      </c>
      <c r="H23" s="5">
        <f>F23+G23-(D23+E23)</f>
        <v>0</v>
      </c>
    </row>
    <row r="24" spans="1:8">
      <c r="A24" s="2" t="s">
        <v>30</v>
      </c>
      <c r="B24" s="3">
        <v>28.35331499999999</v>
      </c>
      <c r="C24" s="3">
        <v>0.8</v>
      </c>
      <c r="D24" s="3">
        <v>35.44164374999999</v>
      </c>
      <c r="E24" s="3">
        <v>0</v>
      </c>
      <c r="F24" s="3">
        <v>7.442</v>
      </c>
      <c r="G24" s="4">
        <v>0</v>
      </c>
      <c r="H24" s="5">
        <f>F24+G24-(D24+E24)</f>
        <v>0</v>
      </c>
    </row>
    <row r="25" spans="1:8">
      <c r="A25" s="2" t="s">
        <v>31</v>
      </c>
      <c r="B25" s="3">
        <v>24.74978399999996</v>
      </c>
      <c r="C25" s="3">
        <v>0.8</v>
      </c>
      <c r="D25" s="3">
        <v>30.93722999999995</v>
      </c>
      <c r="E25" s="3">
        <v>0</v>
      </c>
      <c r="F25" s="3">
        <v>0</v>
      </c>
      <c r="G25" s="4">
        <v>0</v>
      </c>
      <c r="H25" s="5">
        <f>F25+G25-(D25+E25)</f>
        <v>0</v>
      </c>
    </row>
    <row r="26" spans="1:8">
      <c r="A26" s="2" t="s">
        <v>32</v>
      </c>
      <c r="B26" s="3">
        <v>21.240888</v>
      </c>
      <c r="C26" s="3">
        <v>0.8</v>
      </c>
      <c r="D26" s="3">
        <v>26.55111</v>
      </c>
      <c r="E26" s="3">
        <v>0</v>
      </c>
      <c r="F26" s="3">
        <v>0</v>
      </c>
      <c r="G26" s="4">
        <v>0</v>
      </c>
      <c r="H26" s="5">
        <f>F26+G26-(D26+E26)</f>
        <v>0</v>
      </c>
    </row>
    <row r="27" spans="1:8">
      <c r="A27" s="2" t="s">
        <v>33</v>
      </c>
      <c r="B27" s="3">
        <v>19.91472812999999</v>
      </c>
      <c r="C27" s="3">
        <v>0.8</v>
      </c>
      <c r="D27" s="3">
        <v>24.89341016249998</v>
      </c>
      <c r="E27" s="3">
        <v>0</v>
      </c>
      <c r="F27" s="3">
        <v>0</v>
      </c>
      <c r="G27" s="4">
        <v>0</v>
      </c>
      <c r="H27" s="5">
        <f>F27+G27-(D27+E27)</f>
        <v>0</v>
      </c>
    </row>
    <row r="28" spans="1:8">
      <c r="A28" s="2" t="s">
        <v>34</v>
      </c>
      <c r="B28" s="3">
        <v>19.365774</v>
      </c>
      <c r="C28" s="3">
        <v>0.8</v>
      </c>
      <c r="D28" s="3">
        <v>24.2072175</v>
      </c>
      <c r="E28" s="3">
        <v>0</v>
      </c>
      <c r="F28" s="3">
        <v>40.572</v>
      </c>
      <c r="G28" s="4">
        <v>0</v>
      </c>
      <c r="H28" s="6">
        <f>F28+G28-(D28+E28)</f>
        <v>0</v>
      </c>
    </row>
    <row r="29" spans="1:8">
      <c r="A29" s="2" t="s">
        <v>35</v>
      </c>
      <c r="B29" s="3">
        <v>17.7871155</v>
      </c>
      <c r="C29" s="3">
        <v>0.8</v>
      </c>
      <c r="D29" s="3">
        <v>22.233894375</v>
      </c>
      <c r="E29" s="3">
        <v>0</v>
      </c>
      <c r="F29" s="3">
        <v>0</v>
      </c>
      <c r="G29" s="4">
        <v>0</v>
      </c>
      <c r="H29" s="5">
        <f>F29+G29-(D29+E29)</f>
        <v>0</v>
      </c>
    </row>
    <row r="30" spans="1:8">
      <c r="A30" s="2" t="s">
        <v>36</v>
      </c>
      <c r="B30" s="3">
        <v>17.23061480000001</v>
      </c>
      <c r="C30" s="3">
        <v>0.8</v>
      </c>
      <c r="D30" s="3">
        <v>21.5382685</v>
      </c>
      <c r="E30" s="3">
        <v>0</v>
      </c>
      <c r="F30" s="3">
        <v>31.25</v>
      </c>
      <c r="G30" s="4">
        <v>0</v>
      </c>
      <c r="H30" s="6">
        <f>F30+G30-(D30+E30)</f>
        <v>0</v>
      </c>
    </row>
    <row r="31" spans="1:8">
      <c r="A31" s="2" t="s">
        <v>37</v>
      </c>
      <c r="B31" s="3">
        <v>15.340609488</v>
      </c>
      <c r="C31" s="3">
        <v>0.8</v>
      </c>
      <c r="D31" s="3">
        <v>19.17576185999999</v>
      </c>
      <c r="E31" s="3">
        <v>0</v>
      </c>
      <c r="F31" s="3">
        <v>46.368</v>
      </c>
      <c r="G31" s="4">
        <v>0</v>
      </c>
      <c r="H31" s="6">
        <f>F31+G31-(D31+E31)</f>
        <v>0</v>
      </c>
    </row>
    <row r="32" spans="1:8">
      <c r="A32" s="2" t="s">
        <v>38</v>
      </c>
      <c r="B32" s="3">
        <v>11.0591464</v>
      </c>
      <c r="C32" s="3">
        <v>0.8</v>
      </c>
      <c r="D32" s="3">
        <v>13.823933</v>
      </c>
      <c r="E32" s="3">
        <v>0</v>
      </c>
      <c r="F32" s="3">
        <v>0</v>
      </c>
      <c r="G32" s="4">
        <v>0</v>
      </c>
      <c r="H32" s="5">
        <f>F32+G32-(D32+E32)</f>
        <v>0</v>
      </c>
    </row>
    <row r="33" spans="1:8">
      <c r="A33" s="2" t="s">
        <v>39</v>
      </c>
      <c r="B33" s="3">
        <v>10.728939</v>
      </c>
      <c r="C33" s="3">
        <v>0.8</v>
      </c>
      <c r="D33" s="3">
        <v>13.41117375</v>
      </c>
      <c r="E33" s="3">
        <v>0</v>
      </c>
      <c r="F33" s="3">
        <v>32.3141</v>
      </c>
      <c r="G33" s="4">
        <v>0</v>
      </c>
      <c r="H33" s="6">
        <f>F33+G33-(D33+E33)</f>
        <v>0</v>
      </c>
    </row>
    <row r="34" spans="1:8">
      <c r="A34" s="2" t="s">
        <v>40</v>
      </c>
      <c r="B34" s="3">
        <v>10.428147</v>
      </c>
      <c r="C34" s="3">
        <v>0.8</v>
      </c>
      <c r="D34" s="3">
        <v>13.03518375</v>
      </c>
      <c r="E34" s="3">
        <v>0</v>
      </c>
      <c r="F34" s="3">
        <v>5.796</v>
      </c>
      <c r="G34" s="4">
        <v>0</v>
      </c>
      <c r="H34" s="5">
        <f>F34+G34-(D34+E34)</f>
        <v>0</v>
      </c>
    </row>
    <row r="35" spans="1:8">
      <c r="A35" s="2" t="s">
        <v>41</v>
      </c>
      <c r="B35" s="3">
        <v>9.075436</v>
      </c>
      <c r="C35" s="3">
        <v>0.8</v>
      </c>
      <c r="D35" s="3">
        <v>11.344295</v>
      </c>
      <c r="E35" s="3">
        <v>0</v>
      </c>
      <c r="F35" s="3">
        <v>0</v>
      </c>
      <c r="G35" s="4">
        <v>0</v>
      </c>
      <c r="H35" s="5">
        <f>F35+G35-(D35+E35)</f>
        <v>0</v>
      </c>
    </row>
    <row r="36" spans="1:8">
      <c r="A36" s="2" t="s">
        <v>42</v>
      </c>
      <c r="B36" s="3">
        <v>7.052705532000001</v>
      </c>
      <c r="C36" s="3">
        <v>0.8</v>
      </c>
      <c r="D36" s="3">
        <v>8.815881915</v>
      </c>
      <c r="E36" s="3">
        <v>0</v>
      </c>
      <c r="F36" s="3">
        <v>84.375</v>
      </c>
      <c r="G36" s="4">
        <v>0</v>
      </c>
      <c r="H36" s="6">
        <f>F36+G36-(D36+E36)</f>
        <v>0</v>
      </c>
    </row>
    <row r="37" spans="1:8">
      <c r="A37" s="2" t="s">
        <v>43</v>
      </c>
      <c r="B37" s="3">
        <v>6.17008778</v>
      </c>
      <c r="C37" s="3">
        <v>0.8</v>
      </c>
      <c r="D37" s="3">
        <v>7.712609725</v>
      </c>
      <c r="E37" s="3">
        <v>0</v>
      </c>
      <c r="F37" s="3">
        <v>104.328</v>
      </c>
      <c r="G37" s="4">
        <v>0</v>
      </c>
      <c r="H37" s="6">
        <f>F37+G37-(D37+E37)</f>
        <v>0</v>
      </c>
    </row>
    <row r="38" spans="1:8">
      <c r="A38" s="2" t="s">
        <v>44</v>
      </c>
      <c r="B38" s="3">
        <v>5.59998</v>
      </c>
      <c r="C38" s="3">
        <v>0.8</v>
      </c>
      <c r="D38" s="3">
        <v>6.999975</v>
      </c>
      <c r="E38" s="3">
        <v>0</v>
      </c>
      <c r="F38" s="3">
        <v>197.96</v>
      </c>
      <c r="G38" s="4">
        <v>0</v>
      </c>
      <c r="H38" s="6">
        <f>F38+G38-(D38+E38)</f>
        <v>0</v>
      </c>
    </row>
    <row r="39" spans="1:8">
      <c r="A39" s="2" t="s">
        <v>45</v>
      </c>
      <c r="B39" s="3">
        <v>5.46051016</v>
      </c>
      <c r="C39" s="3">
        <v>0.8</v>
      </c>
      <c r="D39" s="3">
        <v>6.8256377</v>
      </c>
      <c r="E39" s="3">
        <v>0</v>
      </c>
      <c r="F39" s="3">
        <v>5.796</v>
      </c>
      <c r="G39" s="4">
        <v>0</v>
      </c>
      <c r="H39" s="5">
        <f>F39+G39-(D39+E39)</f>
        <v>0</v>
      </c>
    </row>
    <row r="40" spans="1:8">
      <c r="A40" s="2" t="s">
        <v>46</v>
      </c>
      <c r="B40" s="3">
        <v>4.6762045225</v>
      </c>
      <c r="C40" s="3">
        <v>0.8</v>
      </c>
      <c r="D40" s="3">
        <v>5.845255653124999</v>
      </c>
      <c r="E40" s="3">
        <v>0</v>
      </c>
      <c r="F40" s="3">
        <v>26.7912</v>
      </c>
      <c r="G40" s="4">
        <v>0</v>
      </c>
      <c r="H40" s="6">
        <f>F40+G40-(D40+E40)</f>
        <v>0</v>
      </c>
    </row>
    <row r="41" spans="1:8">
      <c r="A41" s="2" t="s">
        <v>47</v>
      </c>
      <c r="B41" s="3">
        <v>4.634585176</v>
      </c>
      <c r="C41" s="3">
        <v>0.8</v>
      </c>
      <c r="D41" s="3">
        <v>5.793231469999999</v>
      </c>
      <c r="E41" s="3">
        <v>0</v>
      </c>
      <c r="F41" s="3">
        <v>46.368</v>
      </c>
      <c r="G41" s="4">
        <v>0</v>
      </c>
      <c r="H41" s="6">
        <f>F41+G41-(D41+E41)</f>
        <v>0</v>
      </c>
    </row>
    <row r="42" spans="1:8">
      <c r="A42" s="2" t="s">
        <v>48</v>
      </c>
      <c r="B42" s="3">
        <v>4.253903999999999</v>
      </c>
      <c r="C42" s="3">
        <v>0.8</v>
      </c>
      <c r="D42" s="3">
        <v>5.317379999999999</v>
      </c>
      <c r="E42" s="3">
        <v>0</v>
      </c>
      <c r="F42" s="3">
        <v>0</v>
      </c>
      <c r="G42" s="4">
        <v>0</v>
      </c>
      <c r="H42" s="5">
        <f>F42+G42-(D42+E42)</f>
        <v>0</v>
      </c>
    </row>
    <row r="43" spans="1:8">
      <c r="A43" s="2" t="s">
        <v>49</v>
      </c>
      <c r="B43" s="3">
        <v>2.71131</v>
      </c>
      <c r="C43" s="3">
        <v>0.8</v>
      </c>
      <c r="D43" s="3">
        <v>3.389137499999999</v>
      </c>
      <c r="E43" s="3">
        <v>0</v>
      </c>
      <c r="F43" s="3">
        <v>21.875</v>
      </c>
      <c r="G43" s="4">
        <v>0</v>
      </c>
      <c r="H43" s="6">
        <f>F43+G43-(D43+E43)</f>
        <v>0</v>
      </c>
    </row>
    <row r="44" spans="1:8">
      <c r="A44" s="2" t="s">
        <v>50</v>
      </c>
      <c r="B44" s="3">
        <v>1.976472</v>
      </c>
      <c r="C44" s="3">
        <v>0.8</v>
      </c>
      <c r="D44" s="3">
        <v>2.47059</v>
      </c>
      <c r="E44" s="3">
        <v>0</v>
      </c>
      <c r="F44" s="3">
        <v>144.9</v>
      </c>
      <c r="G44" s="4">
        <v>0</v>
      </c>
      <c r="H44" s="6">
        <f>F44+G44-(D44+E44)</f>
        <v>0</v>
      </c>
    </row>
    <row r="45" spans="1:8">
      <c r="A45" s="2" t="s">
        <v>51</v>
      </c>
      <c r="B45" s="3">
        <v>1.91809</v>
      </c>
      <c r="C45" s="3">
        <v>0.8</v>
      </c>
      <c r="D45" s="3">
        <v>2.3976125</v>
      </c>
      <c r="E45" s="3">
        <v>0</v>
      </c>
      <c r="F45" s="3">
        <v>139.104</v>
      </c>
      <c r="G45" s="4">
        <v>0</v>
      </c>
      <c r="H45" s="6">
        <f>F45+G45-(D45+E45)</f>
        <v>0</v>
      </c>
    </row>
    <row r="46" spans="1:8">
      <c r="A46" s="2" t="s">
        <v>52</v>
      </c>
      <c r="B46" s="3">
        <v>0.5568</v>
      </c>
      <c r="C46" s="3">
        <v>0.8</v>
      </c>
      <c r="D46" s="3">
        <v>0.696</v>
      </c>
      <c r="E46" s="3">
        <v>0</v>
      </c>
      <c r="F46" s="3">
        <v>86.94</v>
      </c>
      <c r="G46" s="4">
        <v>0</v>
      </c>
      <c r="H46" s="6">
        <f>F46+G46-(D46+E46)</f>
        <v>0</v>
      </c>
    </row>
    <row r="47" spans="1:8">
      <c r="A47" s="2" t="s">
        <v>53</v>
      </c>
      <c r="B47" s="3">
        <v>0.19047996</v>
      </c>
      <c r="C47" s="3">
        <v>0.8</v>
      </c>
      <c r="D47" s="3">
        <v>0.23809995</v>
      </c>
      <c r="E47" s="3">
        <v>0</v>
      </c>
      <c r="F47" s="3">
        <v>0</v>
      </c>
      <c r="G47" s="4">
        <v>0</v>
      </c>
      <c r="H47" s="5">
        <f>F47+G47-(D47+E47)</f>
        <v>0</v>
      </c>
    </row>
    <row r="48" spans="1:8">
      <c r="A48" s="2" t="s">
        <v>54</v>
      </c>
      <c r="B48" s="3">
        <v>0.13874</v>
      </c>
      <c r="C48" s="3">
        <v>0.8</v>
      </c>
      <c r="D48" s="3">
        <v>0.173425</v>
      </c>
      <c r="E48" s="3">
        <v>0</v>
      </c>
      <c r="F48" s="3">
        <v>15.25</v>
      </c>
      <c r="G48" s="4">
        <v>0</v>
      </c>
      <c r="H48" s="6">
        <f>F48+G48-(D48+E48)</f>
        <v>0</v>
      </c>
    </row>
    <row r="49" spans="1:8">
      <c r="A49" s="2" t="s">
        <v>55</v>
      </c>
      <c r="B49" s="3">
        <v>0.09288</v>
      </c>
      <c r="C49" s="3">
        <v>0.8</v>
      </c>
      <c r="D49" s="3">
        <v>0.1161</v>
      </c>
      <c r="E49" s="3">
        <v>0</v>
      </c>
      <c r="F49" s="3">
        <v>15.25</v>
      </c>
      <c r="G49" s="4">
        <v>0</v>
      </c>
      <c r="H49" s="6">
        <f>F49+G49-(D49+E49)</f>
        <v>0</v>
      </c>
    </row>
    <row r="51" spans="1:8">
      <c r="A51" s="7" t="s">
        <v>56</v>
      </c>
    </row>
  </sheetData>
  <conditionalFormatting sqref="H2:H49">
    <cfRule type="cellIs" dxfId="0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Bestelberekening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2025-11-25T05:47:07Z</dcterms:created>
  <dcterms:modified xsi:type="dcterms:W3CDTF">2025-11-25T05:47:07Z</dcterms:modified>
</cp:coreProperties>
</file>